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Curso Excel Avanzado\Caso_practico_1_UserForm\"/>
    </mc:Choice>
  </mc:AlternateContent>
  <xr:revisionPtr revIDLastSave="0" documentId="13_ncr:1_{F9D71C15-9197-4DC1-9FF7-0BE150646D80}" xr6:coauthVersionLast="38" xr6:coauthVersionMax="38" xr10:uidLastSave="{00000000-0000-0000-0000-000000000000}"/>
  <bookViews>
    <workbookView xWindow="0" yWindow="0" windowWidth="24000" windowHeight="9525" xr2:uid="{00000000-000D-0000-FFFF-FFFF00000000}"/>
  </bookViews>
  <sheets>
    <sheet name="Contratación" sheetId="1" r:id="rId1"/>
    <sheet name="Gestion" sheetId="2" r:id="rId2"/>
    <sheet name="Almacén" sheetId="3" r:id="rId3"/>
  </sheets>
  <calcPr calcId="181029"/>
</workbook>
</file>

<file path=xl/calcChain.xml><?xml version="1.0" encoding="utf-8"?>
<calcChain xmlns="http://schemas.openxmlformats.org/spreadsheetml/2006/main">
  <c r="G8" i="2" l="1"/>
  <c r="G9" i="2"/>
  <c r="G10" i="2"/>
  <c r="G11" i="2"/>
  <c r="G12" i="2"/>
  <c r="G13" i="2"/>
  <c r="G14" i="2"/>
  <c r="G15" i="2"/>
  <c r="G16" i="2"/>
  <c r="G17" i="2"/>
  <c r="G18" i="2"/>
  <c r="G19" i="2"/>
  <c r="G20" i="2"/>
  <c r="G7" i="2"/>
  <c r="H8" i="1" l="1"/>
  <c r="H9" i="1"/>
  <c r="H10" i="1"/>
  <c r="H11" i="1"/>
  <c r="H12" i="1"/>
  <c r="H13" i="1"/>
  <c r="H14" i="1"/>
  <c r="H15" i="1"/>
  <c r="H16" i="1"/>
  <c r="H17" i="1"/>
  <c r="H18" i="1"/>
  <c r="H19" i="1"/>
  <c r="H20" i="1"/>
  <c r="H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Andres</author>
  </authors>
  <commentList>
    <comment ref="F7" authorId="0" shapeId="0" xr:uid="{00000000-0006-0000-0000-000001000000}">
      <text>
        <r>
          <rPr>
            <sz val="9"/>
            <color indexed="81"/>
            <rFont val="Tahoma"/>
            <family val="2"/>
          </rPr>
          <t>Solicitar todos los soportes de compra.</t>
        </r>
      </text>
    </comment>
    <comment ref="J7" authorId="0" shapeId="0" xr:uid="{00000000-0006-0000-0000-000002000000}">
      <text>
        <r>
          <rPr>
            <sz val="9"/>
            <color indexed="81"/>
            <rFont val="Tahoma"/>
            <family val="2"/>
          </rPr>
          <t>Orden de compra no se adjunta.</t>
        </r>
      </text>
    </comment>
    <comment ref="J10" authorId="0" shapeId="0" xr:uid="{00000000-0006-0000-0000-000003000000}">
      <text>
        <r>
          <rPr>
            <sz val="9"/>
            <color indexed="81"/>
            <rFont val="Tahoma"/>
            <family val="2"/>
          </rPr>
          <t>Solicitar modificación contraactual.</t>
        </r>
      </text>
    </comment>
    <comment ref="D11" authorId="0" shapeId="0" xr:uid="{00000000-0006-0000-0000-000004000000}">
      <text>
        <r>
          <rPr>
            <sz val="9"/>
            <color indexed="81"/>
            <rFont val="Tahoma"/>
            <family val="2"/>
          </rPr>
          <t>Contratación x prestación de servicios.</t>
        </r>
      </text>
    </comment>
    <comment ref="G12" authorId="0" shapeId="0" xr:uid="{00000000-0006-0000-0000-000005000000}">
      <text>
        <r>
          <rPr>
            <sz val="9"/>
            <color indexed="81"/>
            <rFont val="Tahoma"/>
            <family val="2"/>
          </rPr>
          <t>Se entrega legalización de seguros.</t>
        </r>
      </text>
    </comment>
    <comment ref="J13" authorId="0" shapeId="0" xr:uid="{00000000-0006-0000-0000-000006000000}">
      <text>
        <r>
          <rPr>
            <sz val="9"/>
            <color indexed="81"/>
            <rFont val="Tahoma"/>
            <family val="2"/>
          </rPr>
          <t>Corregir acuerdo.</t>
        </r>
      </text>
    </comment>
    <comment ref="G15" authorId="0" shapeId="0" xr:uid="{00000000-0006-0000-0000-000007000000}">
      <text>
        <r>
          <rPr>
            <sz val="9"/>
            <color indexed="81"/>
            <rFont val="Tahoma"/>
            <family val="2"/>
          </rPr>
          <t>Soportes de pautas de conformidad.</t>
        </r>
      </text>
    </comment>
    <comment ref="D16" authorId="0" shapeId="0" xr:uid="{00000000-0006-0000-0000-000008000000}">
      <text>
        <r>
          <rPr>
            <sz val="9"/>
            <color indexed="81"/>
            <rFont val="Tahoma"/>
            <family val="2"/>
          </rPr>
          <t>Revisar poliza cumplimiento.</t>
        </r>
      </text>
    </comment>
    <comment ref="J18" authorId="0" shapeId="0" xr:uid="{00000000-0006-0000-0000-000009000000}">
      <text>
        <r>
          <rPr>
            <sz val="9"/>
            <color indexed="81"/>
            <rFont val="Tahoma"/>
            <family val="2"/>
          </rPr>
          <t>Plazo de entrega extendido.</t>
        </r>
      </text>
    </comment>
    <comment ref="D20" authorId="0" shapeId="0" xr:uid="{00000000-0006-0000-0000-00000A000000}">
      <text>
        <r>
          <rPr>
            <sz val="9"/>
            <color indexed="81"/>
            <rFont val="Tahoma"/>
            <family val="2"/>
          </rPr>
          <t>Requerimientos incompletos.</t>
        </r>
      </text>
    </comment>
    <comment ref="G20" authorId="0" shapeId="0" xr:uid="{00000000-0006-0000-0000-00000B000000}">
      <text>
        <r>
          <rPr>
            <sz val="9"/>
            <color indexed="81"/>
            <rFont val="Tahoma"/>
            <family val="2"/>
          </rPr>
          <t>Pendiente certificado tributario.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Andres</author>
  </authors>
  <commentList>
    <comment ref="D9" authorId="0" shapeId="0" xr:uid="{00000000-0006-0000-0100-000001000000}">
      <text>
        <r>
          <rPr>
            <sz val="9"/>
            <color indexed="81"/>
            <rFont val="Tahoma"/>
            <family val="2"/>
          </rPr>
          <t>Recomendaciones en la instalacion del lecho protector.</t>
        </r>
      </text>
    </comment>
    <comment ref="H11" authorId="0" shapeId="0" xr:uid="{00000000-0006-0000-0100-000002000000}">
      <text>
        <r>
          <rPr>
            <sz val="9"/>
            <color indexed="81"/>
            <rFont val="Tahoma"/>
            <family val="2"/>
          </rPr>
          <t>Retrasos por estado de las vias.</t>
        </r>
      </text>
    </comment>
    <comment ref="H17" authorId="0" shapeId="0" xr:uid="{00000000-0006-0000-0100-000003000000}">
      <text>
        <r>
          <rPr>
            <sz val="9"/>
            <color indexed="81"/>
            <rFont val="Tahoma"/>
            <family val="2"/>
          </rPr>
          <t>Calibracion postanalisis incompleta.</t>
        </r>
      </text>
    </comment>
    <comment ref="D18" authorId="0" shapeId="0" xr:uid="{00000000-0006-0000-0100-000004000000}">
      <text>
        <r>
          <rPr>
            <sz val="9"/>
            <color indexed="81"/>
            <rFont val="Tahoma"/>
            <family val="2"/>
          </rPr>
          <t>Contenedores para cubierta no apropiados.</t>
        </r>
      </text>
    </comment>
    <comment ref="H20" authorId="0" shapeId="0" xr:uid="{00000000-0006-0000-0100-000005000000}">
      <text>
        <r>
          <rPr>
            <sz val="9"/>
            <color indexed="81"/>
            <rFont val="Tahoma"/>
            <family val="2"/>
          </rPr>
          <t>Todo los parametros de lista de chequeo OK.</t>
        </r>
      </text>
    </comment>
  </commentList>
</comments>
</file>

<file path=xl/sharedStrings.xml><?xml version="1.0" encoding="utf-8"?>
<sst xmlns="http://schemas.openxmlformats.org/spreadsheetml/2006/main" count="74" uniqueCount="56">
  <si>
    <t>CONTRATACION AÑO 2013</t>
  </si>
  <si>
    <t>No. Contrato</t>
  </si>
  <si>
    <t>Monto disponible</t>
  </si>
  <si>
    <t>Monto invertido</t>
  </si>
  <si>
    <t>Fecha</t>
  </si>
  <si>
    <t>Monto restante</t>
  </si>
  <si>
    <t>Adjudicado</t>
  </si>
  <si>
    <t>Referencia</t>
  </si>
  <si>
    <t>555987-1</t>
  </si>
  <si>
    <t>256987-9</t>
  </si>
  <si>
    <t>566987-3</t>
  </si>
  <si>
    <t>877694-6</t>
  </si>
  <si>
    <t>988745-1</t>
  </si>
  <si>
    <t>221587-6</t>
  </si>
  <si>
    <t>998745-8</t>
  </si>
  <si>
    <t>998745-4</t>
  </si>
  <si>
    <t>122897-7</t>
  </si>
  <si>
    <t>887789-3</t>
  </si>
  <si>
    <t>445879-2</t>
  </si>
  <si>
    <t>887954-9</t>
  </si>
  <si>
    <t>665987-3</t>
  </si>
  <si>
    <t>887456-8</t>
  </si>
  <si>
    <t>SIA Ltda.</t>
  </si>
  <si>
    <t>Caprecol S.A.</t>
  </si>
  <si>
    <t>Drupon Ltda.</t>
  </si>
  <si>
    <t>Antonio Mojica</t>
  </si>
  <si>
    <t>Castelain S.A.S</t>
  </si>
  <si>
    <t>Mundrow Compañía</t>
  </si>
  <si>
    <t>Listin y asociados</t>
  </si>
  <si>
    <t>Pedro Campos</t>
  </si>
  <si>
    <t>Turbo S.A.</t>
  </si>
  <si>
    <t>Consorcio YUTER</t>
  </si>
  <si>
    <t>Argos Ltda.</t>
  </si>
  <si>
    <t>Fenacol S.A.</t>
  </si>
  <si>
    <t>Esteban &amp; Hijos Ltda.</t>
  </si>
  <si>
    <t>AVANCE PROMEDIO POR CONTRATO</t>
  </si>
  <si>
    <t>Contrato No.</t>
  </si>
  <si>
    <t>Costo total</t>
  </si>
  <si>
    <t>Costo invertido</t>
  </si>
  <si>
    <t>% avance</t>
  </si>
  <si>
    <t>Tiempo invertido días</t>
  </si>
  <si>
    <t>ROTACIÓN DE INVENTARIOS I TRIMESTRE  DE 2012</t>
  </si>
  <si>
    <t>Mercancías perecederas</t>
  </si>
  <si>
    <t>Insumos de fabricación</t>
  </si>
  <si>
    <t>Materia primas básicas</t>
  </si>
  <si>
    <t>Despachos a mantenimiento</t>
  </si>
  <si>
    <t>Insumos papelería</t>
  </si>
  <si>
    <t>Materiales de aseo</t>
  </si>
  <si>
    <t>Otros subgrupos no clasificados</t>
  </si>
  <si>
    <t>Tipo producto almacenado</t>
  </si>
  <si>
    <t>Criterio</t>
  </si>
  <si>
    <t>Costo rotación</t>
  </si>
  <si>
    <t>% Rotación</t>
  </si>
  <si>
    <t>Kg</t>
  </si>
  <si>
    <t>Tn</t>
  </si>
  <si>
    <t>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</si>
</sst>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\ * #,##0_);_(&quot;$&quot;\ * \(#,##0\);_(&quot;$&quot;\ * &quot;-&quot;??_);_(@_)"/>
    <numFmt numFmtId="165" formatCode="0.0%"/>
    <numFmt numFmtId="166" formatCode="[$$-240A]\ #,##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0" borderId="1" xfId="0" applyBorder="1"/>
    <xf numFmtId="164" fontId="0" fillId="0" borderId="1" xfId="0" applyNumberFormat="1" applyBorder="1"/>
    <xf numFmtId="14" fontId="0" fillId="0" borderId="1" xfId="0" applyNumberFormat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10" fontId="0" fillId="0" borderId="1" xfId="0" applyNumberFormat="1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/>
            </a:pPr>
            <a:r>
              <a:rPr lang="es-CO" sz="1500"/>
              <a:t>Rotación Vs Costo</a:t>
            </a:r>
          </a:p>
        </c:rich>
      </c:tx>
      <c:layout>
        <c:manualLayout>
          <c:xMode val="edge"/>
          <c:yMode val="edge"/>
          <c:x val="0.29040071550076285"/>
          <c:y val="3.582852764902390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872554349414564E-2"/>
          <c:y val="0.174549009919545"/>
          <c:w val="0.56574037376731023"/>
          <c:h val="0.69722758127614837"/>
        </c:manualLayout>
      </c:layout>
      <c:lineChart>
        <c:grouping val="standard"/>
        <c:varyColors val="0"/>
        <c:ser>
          <c:idx val="1"/>
          <c:order val="1"/>
          <c:tx>
            <c:strRef>
              <c:f>Almacén!$J$6</c:f>
              <c:strCache>
                <c:ptCount val="1"/>
                <c:pt idx="0">
                  <c:v>Costo rotación</c:v>
                </c:pt>
              </c:strCache>
            </c:strRef>
          </c:tx>
          <c:spPr>
            <a:ln w="19050">
              <a:solidFill>
                <a:srgbClr val="00B0F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FF0000"/>
              </a:solidFill>
              <a:ln w="12700"/>
            </c:spPr>
          </c:marker>
          <c:cat>
            <c:strRef>
              <c:f>Almacén!$H$7:$H$13</c:f>
              <c:strCache>
                <c:ptCount val="7"/>
                <c:pt idx="0">
                  <c:v>Kg</c:v>
                </c:pt>
                <c:pt idx="1">
                  <c:v>Tn</c:v>
                </c:pt>
                <c:pt idx="2">
                  <c:v>Tn</c:v>
                </c:pt>
                <c:pt idx="3">
                  <c:v>Und</c:v>
                </c:pt>
                <c:pt idx="4">
                  <c:v>Und</c:v>
                </c:pt>
                <c:pt idx="5">
                  <c:v>Und</c:v>
                </c:pt>
                <c:pt idx="6">
                  <c:v>Kg</c:v>
                </c:pt>
              </c:strCache>
            </c:strRef>
          </c:cat>
          <c:val>
            <c:numRef>
              <c:f>Almacén!$J$7:$J$13</c:f>
              <c:numCache>
                <c:formatCode>[$$-240A]\ #,##0.0</c:formatCode>
                <c:ptCount val="7"/>
                <c:pt idx="0">
                  <c:v>0.75</c:v>
                </c:pt>
                <c:pt idx="1">
                  <c:v>35.9</c:v>
                </c:pt>
                <c:pt idx="2">
                  <c:v>43.1</c:v>
                </c:pt>
                <c:pt idx="3">
                  <c:v>3.5</c:v>
                </c:pt>
                <c:pt idx="4">
                  <c:v>1.5</c:v>
                </c:pt>
                <c:pt idx="5">
                  <c:v>0.9</c:v>
                </c:pt>
                <c:pt idx="6">
                  <c:v>12.3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E-460F-839E-CDC2120B8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207168"/>
        <c:axId val="133209088"/>
      </c:lineChart>
      <c:lineChart>
        <c:grouping val="standard"/>
        <c:varyColors val="0"/>
        <c:ser>
          <c:idx val="0"/>
          <c:order val="0"/>
          <c:tx>
            <c:strRef>
              <c:f>Almacén!$I$6</c:f>
              <c:strCache>
                <c:ptCount val="1"/>
                <c:pt idx="0">
                  <c:v>% Rotación</c:v>
                </c:pt>
              </c:strCache>
            </c:strRef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 w="12700"/>
            </c:spPr>
          </c:marker>
          <c:cat>
            <c:strRef>
              <c:f>Almacén!$H$7:$H$13</c:f>
              <c:strCache>
                <c:ptCount val="7"/>
                <c:pt idx="0">
                  <c:v>Kg</c:v>
                </c:pt>
                <c:pt idx="1">
                  <c:v>Tn</c:v>
                </c:pt>
                <c:pt idx="2">
                  <c:v>Tn</c:v>
                </c:pt>
                <c:pt idx="3">
                  <c:v>Und</c:v>
                </c:pt>
                <c:pt idx="4">
                  <c:v>Und</c:v>
                </c:pt>
                <c:pt idx="5">
                  <c:v>Und</c:v>
                </c:pt>
                <c:pt idx="6">
                  <c:v>Kg</c:v>
                </c:pt>
              </c:strCache>
            </c:strRef>
          </c:cat>
          <c:val>
            <c:numRef>
              <c:f>Almacén!$I$7:$I$13</c:f>
              <c:numCache>
                <c:formatCode>0.00%</c:formatCode>
                <c:ptCount val="7"/>
                <c:pt idx="0">
                  <c:v>0.86399999999999999</c:v>
                </c:pt>
                <c:pt idx="1">
                  <c:v>0.63800000000000001</c:v>
                </c:pt>
                <c:pt idx="2" formatCode="0%">
                  <c:v>0.97</c:v>
                </c:pt>
                <c:pt idx="3">
                  <c:v>0.312</c:v>
                </c:pt>
                <c:pt idx="4">
                  <c:v>0.13400000000000001</c:v>
                </c:pt>
                <c:pt idx="5" formatCode="0%">
                  <c:v>0.27</c:v>
                </c:pt>
                <c:pt idx="6">
                  <c:v>0.495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8E-460F-839E-CDC2120B8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232896"/>
        <c:axId val="133231360"/>
      </c:lineChart>
      <c:catAx>
        <c:axId val="1332071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209088"/>
        <c:crosses val="autoZero"/>
        <c:auto val="1"/>
        <c:lblAlgn val="ctr"/>
        <c:lblOffset val="100"/>
        <c:noMultiLvlLbl val="0"/>
      </c:catAx>
      <c:valAx>
        <c:axId val="133209088"/>
        <c:scaling>
          <c:orientation val="minMax"/>
          <c:max val="50"/>
        </c:scaling>
        <c:delete val="0"/>
        <c:axPos val="l"/>
        <c:majorGridlines/>
        <c:numFmt formatCode="&quot;$&quot;\ #,##0" sourceLinked="0"/>
        <c:majorTickMark val="out"/>
        <c:minorTickMark val="none"/>
        <c:tickLblPos val="nextTo"/>
        <c:spPr>
          <a:noFill/>
          <a:ln w="12700">
            <a:solidFill>
              <a:srgbClr val="FF0000"/>
            </a:solidFill>
          </a:ln>
        </c:spPr>
        <c:crossAx val="133207168"/>
        <c:crosses val="autoZero"/>
        <c:crossBetween val="between"/>
        <c:majorUnit val="10"/>
        <c:minorUnit val="2"/>
      </c:valAx>
      <c:valAx>
        <c:axId val="133231360"/>
        <c:scaling>
          <c:orientation val="minMax"/>
          <c:max val="1"/>
        </c:scaling>
        <c:delete val="0"/>
        <c:axPos val="r"/>
        <c:numFmt formatCode="0%" sourceLinked="0"/>
        <c:majorTickMark val="out"/>
        <c:minorTickMark val="none"/>
        <c:tickLblPos val="nextTo"/>
        <c:spPr>
          <a:ln w="12700">
            <a:solidFill>
              <a:srgbClr val="92D050"/>
            </a:solidFill>
          </a:ln>
        </c:spPr>
        <c:crossAx val="133232896"/>
        <c:crosses val="max"/>
        <c:crossBetween val="between"/>
        <c:majorUnit val="0.2"/>
      </c:valAx>
      <c:catAx>
        <c:axId val="133232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31360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r"/>
      <c:layout>
        <c:manualLayout>
          <c:xMode val="edge"/>
          <c:yMode val="edge"/>
          <c:x val="0.7465322179939089"/>
          <c:y val="0.26924924666237054"/>
          <c:w val="0.24455909603727155"/>
          <c:h val="0.56898684258782728"/>
        </c:manualLayout>
      </c:layout>
      <c:overlay val="0"/>
      <c:txPr>
        <a:bodyPr/>
        <a:lstStyle/>
        <a:p>
          <a:pPr>
            <a:defRPr b="1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19050</xdr:rowOff>
    </xdr:from>
    <xdr:to>
      <xdr:col>1</xdr:col>
      <xdr:colOff>752475</xdr:colOff>
      <xdr:row>2</xdr:row>
      <xdr:rowOff>142875</xdr:rowOff>
    </xdr:to>
    <xdr:sp macro="[0]!LanzarFormulario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1050" y="209550"/>
          <a:ext cx="73342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Ejecutar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19050</xdr:rowOff>
    </xdr:from>
    <xdr:to>
      <xdr:col>1</xdr:col>
      <xdr:colOff>752475</xdr:colOff>
      <xdr:row>2</xdr:row>
      <xdr:rowOff>142875</xdr:rowOff>
    </xdr:to>
    <xdr:sp macro="[0]!LanzarFormulario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81050" y="209550"/>
          <a:ext cx="73342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Ejecutar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19050</xdr:rowOff>
    </xdr:from>
    <xdr:to>
      <xdr:col>1</xdr:col>
      <xdr:colOff>752475</xdr:colOff>
      <xdr:row>2</xdr:row>
      <xdr:rowOff>142875</xdr:rowOff>
    </xdr:to>
    <xdr:sp macro="[0]!LanzarFormulario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81050" y="209550"/>
          <a:ext cx="73342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Ejecutar</a:t>
          </a:r>
        </a:p>
      </xdr:txBody>
    </xdr:sp>
    <xdr:clientData/>
  </xdr:twoCellAnchor>
  <xdr:twoCellAnchor>
    <xdr:from>
      <xdr:col>10</xdr:col>
      <xdr:colOff>85725</xdr:colOff>
      <xdr:row>4</xdr:row>
      <xdr:rowOff>14287</xdr:rowOff>
    </xdr:from>
    <xdr:to>
      <xdr:col>15</xdr:col>
      <xdr:colOff>552450</xdr:colOff>
      <xdr:row>13</xdr:row>
      <xdr:rowOff>0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D5:J20"/>
  <sheetViews>
    <sheetView tabSelected="1" workbookViewId="0">
      <selection activeCell="C15" sqref="C15"/>
    </sheetView>
  </sheetViews>
  <sheetFormatPr baseColWidth="10" defaultRowHeight="15" x14ac:dyDescent="0.25"/>
  <cols>
    <col min="3" max="3" width="16.5703125" customWidth="1"/>
    <col min="4" max="4" width="14.140625" customWidth="1"/>
    <col min="5" max="6" width="18.5703125" customWidth="1"/>
    <col min="7" max="7" width="13.28515625" customWidth="1"/>
    <col min="8" max="8" width="18.5703125" customWidth="1"/>
    <col min="9" max="9" width="21.5703125" customWidth="1"/>
    <col min="10" max="10" width="17.140625" customWidth="1"/>
  </cols>
  <sheetData>
    <row r="5" spans="4:10" ht="15.75" x14ac:dyDescent="0.25">
      <c r="D5" s="17" t="s">
        <v>0</v>
      </c>
      <c r="E5" s="17"/>
      <c r="F5" s="17"/>
      <c r="G5" s="17"/>
      <c r="H5" s="17"/>
      <c r="I5" s="17"/>
      <c r="J5" s="17"/>
    </row>
    <row r="6" spans="4:10" x14ac:dyDescent="0.25">
      <c r="D6" s="1" t="s">
        <v>1</v>
      </c>
      <c r="E6" s="1" t="s">
        <v>2</v>
      </c>
      <c r="F6" s="1" t="s">
        <v>3</v>
      </c>
      <c r="G6" s="1" t="s">
        <v>4</v>
      </c>
      <c r="H6" s="1" t="s">
        <v>5</v>
      </c>
      <c r="I6" s="1" t="s">
        <v>6</v>
      </c>
      <c r="J6" s="1" t="s">
        <v>7</v>
      </c>
    </row>
    <row r="7" spans="4:10" x14ac:dyDescent="0.25">
      <c r="D7" s="2" t="s">
        <v>8</v>
      </c>
      <c r="E7" s="3">
        <v>25000000</v>
      </c>
      <c r="F7" s="3">
        <v>3122600</v>
      </c>
      <c r="G7" s="4">
        <v>41286</v>
      </c>
      <c r="H7" s="3">
        <f>E7-F7</f>
        <v>21877400</v>
      </c>
      <c r="I7" s="6" t="s">
        <v>22</v>
      </c>
      <c r="J7" s="5">
        <v>3569</v>
      </c>
    </row>
    <row r="8" spans="4:10" x14ac:dyDescent="0.25">
      <c r="D8" s="2" t="s">
        <v>9</v>
      </c>
      <c r="E8" s="3">
        <v>980000</v>
      </c>
      <c r="F8" s="3">
        <v>0</v>
      </c>
      <c r="G8" s="4"/>
      <c r="H8" s="3">
        <f t="shared" ref="H8:H20" si="0">E8-F8</f>
        <v>980000</v>
      </c>
      <c r="I8" s="6"/>
      <c r="J8" s="5"/>
    </row>
    <row r="9" spans="4:10" x14ac:dyDescent="0.25">
      <c r="D9" s="2" t="s">
        <v>10</v>
      </c>
      <c r="E9" s="3">
        <v>96360000</v>
      </c>
      <c r="F9" s="3">
        <v>8750000</v>
      </c>
      <c r="G9" s="4">
        <v>41276</v>
      </c>
      <c r="H9" s="3">
        <f t="shared" si="0"/>
        <v>87610000</v>
      </c>
      <c r="I9" s="6" t="s">
        <v>23</v>
      </c>
      <c r="J9" s="5">
        <v>6598</v>
      </c>
    </row>
    <row r="10" spans="4:10" x14ac:dyDescent="0.25">
      <c r="D10" s="2" t="s">
        <v>11</v>
      </c>
      <c r="E10" s="3">
        <v>12000000</v>
      </c>
      <c r="F10" s="3">
        <v>980000</v>
      </c>
      <c r="G10" s="4">
        <v>41308</v>
      </c>
      <c r="H10" s="3">
        <f t="shared" si="0"/>
        <v>11020000</v>
      </c>
      <c r="I10" s="6" t="s">
        <v>24</v>
      </c>
      <c r="J10" s="5">
        <v>1258</v>
      </c>
    </row>
    <row r="11" spans="4:10" x14ac:dyDescent="0.25">
      <c r="D11" s="2" t="s">
        <v>12</v>
      </c>
      <c r="E11" s="3">
        <v>15790000</v>
      </c>
      <c r="F11" s="3">
        <v>5200000</v>
      </c>
      <c r="G11" s="4">
        <v>41282</v>
      </c>
      <c r="H11" s="3">
        <f t="shared" si="0"/>
        <v>10590000</v>
      </c>
      <c r="I11" s="6" t="s">
        <v>25</v>
      </c>
      <c r="J11" s="5">
        <v>4569</v>
      </c>
    </row>
    <row r="12" spans="4:10" x14ac:dyDescent="0.25">
      <c r="D12" s="2" t="s">
        <v>13</v>
      </c>
      <c r="E12" s="3">
        <v>63950000</v>
      </c>
      <c r="F12" s="3">
        <v>9780000</v>
      </c>
      <c r="G12" s="4">
        <v>41289</v>
      </c>
      <c r="H12" s="3">
        <f t="shared" si="0"/>
        <v>54170000</v>
      </c>
      <c r="I12" s="6" t="s">
        <v>26</v>
      </c>
      <c r="J12" s="5">
        <v>7894</v>
      </c>
    </row>
    <row r="13" spans="4:10" x14ac:dyDescent="0.25">
      <c r="D13" s="2" t="s">
        <v>14</v>
      </c>
      <c r="E13" s="3">
        <v>2380000</v>
      </c>
      <c r="F13" s="3">
        <v>126500</v>
      </c>
      <c r="G13" s="4">
        <v>41315</v>
      </c>
      <c r="H13" s="3">
        <f t="shared" si="0"/>
        <v>2253500</v>
      </c>
      <c r="I13" s="6" t="s">
        <v>27</v>
      </c>
      <c r="J13" s="5">
        <v>6559</v>
      </c>
    </row>
    <row r="14" spans="4:10" x14ac:dyDescent="0.25">
      <c r="D14" s="2" t="s">
        <v>15</v>
      </c>
      <c r="E14" s="3">
        <v>2350000</v>
      </c>
      <c r="F14" s="3">
        <v>630000</v>
      </c>
      <c r="G14" s="4">
        <v>41277</v>
      </c>
      <c r="H14" s="3">
        <f t="shared" si="0"/>
        <v>1720000</v>
      </c>
      <c r="I14" s="6" t="s">
        <v>28</v>
      </c>
      <c r="J14" s="5">
        <v>2289</v>
      </c>
    </row>
    <row r="15" spans="4:10" x14ac:dyDescent="0.25">
      <c r="D15" s="2" t="s">
        <v>16</v>
      </c>
      <c r="E15" s="3">
        <v>675000</v>
      </c>
      <c r="F15" s="3">
        <v>196800</v>
      </c>
      <c r="G15" s="4">
        <v>41301</v>
      </c>
      <c r="H15" s="3">
        <f t="shared" si="0"/>
        <v>478200</v>
      </c>
      <c r="I15" s="6" t="s">
        <v>29</v>
      </c>
      <c r="J15" s="5">
        <v>7469</v>
      </c>
    </row>
    <row r="16" spans="4:10" x14ac:dyDescent="0.25">
      <c r="D16" s="2" t="s">
        <v>17</v>
      </c>
      <c r="E16" s="3">
        <v>23987000</v>
      </c>
      <c r="F16" s="3">
        <v>3730000</v>
      </c>
      <c r="G16" s="4">
        <v>41289</v>
      </c>
      <c r="H16" s="3">
        <f t="shared" si="0"/>
        <v>20257000</v>
      </c>
      <c r="I16" s="6" t="s">
        <v>30</v>
      </c>
      <c r="J16" s="5">
        <v>9824</v>
      </c>
    </row>
    <row r="17" spans="4:10" x14ac:dyDescent="0.25">
      <c r="D17" s="2" t="s">
        <v>18</v>
      </c>
      <c r="E17" s="3">
        <v>556000</v>
      </c>
      <c r="F17" s="3">
        <v>68450</v>
      </c>
      <c r="G17" s="4">
        <v>41322</v>
      </c>
      <c r="H17" s="3">
        <f t="shared" si="0"/>
        <v>487550</v>
      </c>
      <c r="I17" s="6" t="s">
        <v>31</v>
      </c>
      <c r="J17" s="5">
        <v>6916</v>
      </c>
    </row>
    <row r="18" spans="4:10" x14ac:dyDescent="0.25">
      <c r="D18" s="2" t="s">
        <v>19</v>
      </c>
      <c r="E18" s="3">
        <v>4760000</v>
      </c>
      <c r="F18" s="3">
        <v>1110500</v>
      </c>
      <c r="G18" s="4">
        <v>41300</v>
      </c>
      <c r="H18" s="3">
        <f t="shared" si="0"/>
        <v>3649500</v>
      </c>
      <c r="I18" s="6" t="s">
        <v>32</v>
      </c>
      <c r="J18" s="5">
        <v>8838</v>
      </c>
    </row>
    <row r="19" spans="4:10" x14ac:dyDescent="0.25">
      <c r="D19" s="2" t="s">
        <v>20</v>
      </c>
      <c r="E19" s="3">
        <v>1870000</v>
      </c>
      <c r="F19" s="3">
        <v>860000</v>
      </c>
      <c r="G19" s="4">
        <v>41288</v>
      </c>
      <c r="H19" s="3">
        <f t="shared" si="0"/>
        <v>1010000</v>
      </c>
      <c r="I19" s="6" t="s">
        <v>33</v>
      </c>
      <c r="J19" s="5">
        <v>6547</v>
      </c>
    </row>
    <row r="20" spans="4:10" x14ac:dyDescent="0.25">
      <c r="D20" s="2" t="s">
        <v>21</v>
      </c>
      <c r="E20" s="3">
        <v>36000000</v>
      </c>
      <c r="F20" s="3">
        <v>6720000</v>
      </c>
      <c r="G20" s="4">
        <v>41314</v>
      </c>
      <c r="H20" s="3">
        <f t="shared" si="0"/>
        <v>29280000</v>
      </c>
      <c r="I20" s="6" t="s">
        <v>34</v>
      </c>
      <c r="J20" s="5">
        <v>5098</v>
      </c>
    </row>
  </sheetData>
  <mergeCells count="1">
    <mergeCell ref="D5:J5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5:H20"/>
  <sheetViews>
    <sheetView workbookViewId="0">
      <selection activeCell="K20" sqref="K20"/>
    </sheetView>
  </sheetViews>
  <sheetFormatPr baseColWidth="10" defaultRowHeight="15" x14ac:dyDescent="0.25"/>
  <cols>
    <col min="3" max="3" width="16.7109375" customWidth="1"/>
    <col min="4" max="4" width="15.42578125" customWidth="1"/>
    <col min="5" max="5" width="21.28515625" customWidth="1"/>
    <col min="6" max="6" width="19" customWidth="1"/>
    <col min="8" max="8" width="21.7109375" customWidth="1"/>
  </cols>
  <sheetData>
    <row r="5" spans="4:8" ht="15.75" x14ac:dyDescent="0.25">
      <c r="D5" s="18" t="s">
        <v>35</v>
      </c>
      <c r="E5" s="18"/>
      <c r="F5" s="18"/>
      <c r="G5" s="18"/>
      <c r="H5" s="18"/>
    </row>
    <row r="6" spans="4:8" x14ac:dyDescent="0.25">
      <c r="D6" s="9" t="s">
        <v>36</v>
      </c>
      <c r="E6" s="9" t="s">
        <v>37</v>
      </c>
      <c r="F6" s="9" t="s">
        <v>38</v>
      </c>
      <c r="G6" s="9" t="s">
        <v>39</v>
      </c>
      <c r="H6" s="9" t="s">
        <v>40</v>
      </c>
    </row>
    <row r="7" spans="4:8" x14ac:dyDescent="0.25">
      <c r="D7" s="5" t="s">
        <v>8</v>
      </c>
      <c r="E7" s="8">
        <v>25000000</v>
      </c>
      <c r="F7" s="8">
        <v>3122600</v>
      </c>
      <c r="G7" s="7">
        <f>F7/E7</f>
        <v>0.124904</v>
      </c>
      <c r="H7" s="10">
        <v>40</v>
      </c>
    </row>
    <row r="8" spans="4:8" x14ac:dyDescent="0.25">
      <c r="D8" s="5" t="s">
        <v>9</v>
      </c>
      <c r="E8" s="8">
        <v>980000</v>
      </c>
      <c r="F8" s="8">
        <v>0</v>
      </c>
      <c r="G8" s="7">
        <f t="shared" ref="G8:G20" si="0">F8/E8</f>
        <v>0</v>
      </c>
      <c r="H8" s="10">
        <v>0</v>
      </c>
    </row>
    <row r="9" spans="4:8" x14ac:dyDescent="0.25">
      <c r="D9" s="5" t="s">
        <v>10</v>
      </c>
      <c r="E9" s="8">
        <v>96360000</v>
      </c>
      <c r="F9" s="8">
        <v>8750000</v>
      </c>
      <c r="G9" s="7">
        <f t="shared" si="0"/>
        <v>9.0805313408053132E-2</v>
      </c>
      <c r="H9" s="10">
        <v>50</v>
      </c>
    </row>
    <row r="10" spans="4:8" x14ac:dyDescent="0.25">
      <c r="D10" s="5" t="s">
        <v>11</v>
      </c>
      <c r="E10" s="8">
        <v>12000000</v>
      </c>
      <c r="F10" s="8">
        <v>980000</v>
      </c>
      <c r="G10" s="7">
        <f t="shared" si="0"/>
        <v>8.1666666666666665E-2</v>
      </c>
      <c r="H10" s="10">
        <v>18</v>
      </c>
    </row>
    <row r="11" spans="4:8" x14ac:dyDescent="0.25">
      <c r="D11" s="5" t="s">
        <v>12</v>
      </c>
      <c r="E11" s="8">
        <v>15790000</v>
      </c>
      <c r="F11" s="8">
        <v>5200000</v>
      </c>
      <c r="G11" s="7">
        <f t="shared" si="0"/>
        <v>0.3293223559214693</v>
      </c>
      <c r="H11" s="10">
        <v>60</v>
      </c>
    </row>
    <row r="12" spans="4:8" x14ac:dyDescent="0.25">
      <c r="D12" s="5" t="s">
        <v>13</v>
      </c>
      <c r="E12" s="8">
        <v>63950000</v>
      </c>
      <c r="F12" s="8">
        <v>9780000</v>
      </c>
      <c r="G12" s="7">
        <f t="shared" si="0"/>
        <v>0.1529319781078968</v>
      </c>
      <c r="H12" s="10">
        <v>37</v>
      </c>
    </row>
    <row r="13" spans="4:8" x14ac:dyDescent="0.25">
      <c r="D13" s="5" t="s">
        <v>14</v>
      </c>
      <c r="E13" s="8">
        <v>2380000</v>
      </c>
      <c r="F13" s="8">
        <v>126500</v>
      </c>
      <c r="G13" s="7">
        <f t="shared" si="0"/>
        <v>5.3151260504201679E-2</v>
      </c>
      <c r="H13" s="10">
        <v>11</v>
      </c>
    </row>
    <row r="14" spans="4:8" x14ac:dyDescent="0.25">
      <c r="D14" s="5" t="s">
        <v>15</v>
      </c>
      <c r="E14" s="8">
        <v>2350000</v>
      </c>
      <c r="F14" s="8">
        <v>630000</v>
      </c>
      <c r="G14" s="7">
        <f t="shared" si="0"/>
        <v>0.26808510638297872</v>
      </c>
      <c r="H14" s="10">
        <v>49</v>
      </c>
    </row>
    <row r="15" spans="4:8" x14ac:dyDescent="0.25">
      <c r="D15" s="5" t="s">
        <v>16</v>
      </c>
      <c r="E15" s="8">
        <v>675000</v>
      </c>
      <c r="F15" s="8">
        <v>196800</v>
      </c>
      <c r="G15" s="7">
        <f t="shared" si="0"/>
        <v>0.29155555555555557</v>
      </c>
      <c r="H15" s="10">
        <v>25</v>
      </c>
    </row>
    <row r="16" spans="4:8" x14ac:dyDescent="0.25">
      <c r="D16" s="5" t="s">
        <v>17</v>
      </c>
      <c r="E16" s="8">
        <v>23987000</v>
      </c>
      <c r="F16" s="8">
        <v>3730000</v>
      </c>
      <c r="G16" s="7">
        <f t="shared" si="0"/>
        <v>0.15550089631883937</v>
      </c>
      <c r="H16" s="10">
        <v>37</v>
      </c>
    </row>
    <row r="17" spans="4:8" x14ac:dyDescent="0.25">
      <c r="D17" s="5" t="s">
        <v>18</v>
      </c>
      <c r="E17" s="8">
        <v>556000</v>
      </c>
      <c r="F17" s="8">
        <v>68450</v>
      </c>
      <c r="G17" s="7">
        <f t="shared" si="0"/>
        <v>0.12311151079136691</v>
      </c>
      <c r="H17" s="10">
        <v>4</v>
      </c>
    </row>
    <row r="18" spans="4:8" x14ac:dyDescent="0.25">
      <c r="D18" s="5" t="s">
        <v>19</v>
      </c>
      <c r="E18" s="8">
        <v>4760000</v>
      </c>
      <c r="F18" s="8">
        <v>1110500</v>
      </c>
      <c r="G18" s="7">
        <f t="shared" si="0"/>
        <v>0.2332983193277311</v>
      </c>
      <c r="H18" s="10">
        <v>26</v>
      </c>
    </row>
    <row r="19" spans="4:8" x14ac:dyDescent="0.25">
      <c r="D19" s="5" t="s">
        <v>20</v>
      </c>
      <c r="E19" s="8">
        <v>1870000</v>
      </c>
      <c r="F19" s="8">
        <v>860000</v>
      </c>
      <c r="G19" s="7">
        <f t="shared" si="0"/>
        <v>0.45989304812834225</v>
      </c>
      <c r="H19" s="10">
        <v>38</v>
      </c>
    </row>
    <row r="20" spans="4:8" x14ac:dyDescent="0.25">
      <c r="D20" s="5" t="s">
        <v>21</v>
      </c>
      <c r="E20" s="8">
        <v>36000000</v>
      </c>
      <c r="F20" s="8">
        <v>6720000</v>
      </c>
      <c r="G20" s="7">
        <f t="shared" si="0"/>
        <v>0.18666666666666668</v>
      </c>
      <c r="H20" s="10">
        <v>12</v>
      </c>
    </row>
  </sheetData>
  <mergeCells count="1">
    <mergeCell ref="D5:H5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D5:J13"/>
  <sheetViews>
    <sheetView zoomScaleNormal="100" workbookViewId="0">
      <selection activeCell="O19" sqref="O19"/>
    </sheetView>
  </sheetViews>
  <sheetFormatPr baseColWidth="10" defaultRowHeight="15" x14ac:dyDescent="0.25"/>
  <cols>
    <col min="3" max="3" width="16.28515625" customWidth="1"/>
    <col min="4" max="4" width="13.28515625" customWidth="1"/>
    <col min="7" max="7" width="7.42578125" customWidth="1"/>
    <col min="8" max="10" width="12" style="11" customWidth="1"/>
  </cols>
  <sheetData>
    <row r="5" spans="4:10" ht="30" customHeight="1" x14ac:dyDescent="0.25">
      <c r="D5" s="20" t="s">
        <v>41</v>
      </c>
      <c r="E5" s="20"/>
      <c r="F5" s="20"/>
      <c r="G5" s="20"/>
      <c r="H5" s="20"/>
      <c r="I5" s="20"/>
      <c r="J5" s="20"/>
    </row>
    <row r="6" spans="4:10" ht="30" x14ac:dyDescent="0.25">
      <c r="D6" s="21" t="s">
        <v>49</v>
      </c>
      <c r="E6" s="21"/>
      <c r="F6" s="21"/>
      <c r="G6" s="21"/>
      <c r="H6" s="13" t="s">
        <v>50</v>
      </c>
      <c r="I6" s="13" t="s">
        <v>52</v>
      </c>
      <c r="J6" s="13" t="s">
        <v>51</v>
      </c>
    </row>
    <row r="7" spans="4:10" ht="18.95" customHeight="1" x14ac:dyDescent="0.25">
      <c r="D7" s="19" t="s">
        <v>42</v>
      </c>
      <c r="E7" s="19"/>
      <c r="F7" s="19"/>
      <c r="G7" s="19"/>
      <c r="H7" s="12" t="s">
        <v>53</v>
      </c>
      <c r="I7" s="14">
        <v>0.86399999999999999</v>
      </c>
      <c r="J7" s="16">
        <v>0.75</v>
      </c>
    </row>
    <row r="8" spans="4:10" ht="18.95" customHeight="1" x14ac:dyDescent="0.25">
      <c r="D8" s="19" t="s">
        <v>43</v>
      </c>
      <c r="E8" s="19"/>
      <c r="F8" s="19"/>
      <c r="G8" s="19"/>
      <c r="H8" s="12" t="s">
        <v>54</v>
      </c>
      <c r="I8" s="14">
        <v>0.63800000000000001</v>
      </c>
      <c r="J8" s="16">
        <v>35.9</v>
      </c>
    </row>
    <row r="9" spans="4:10" ht="18.95" customHeight="1" x14ac:dyDescent="0.25">
      <c r="D9" s="19" t="s">
        <v>44</v>
      </c>
      <c r="E9" s="19"/>
      <c r="F9" s="19"/>
      <c r="G9" s="19"/>
      <c r="H9" s="12" t="s">
        <v>54</v>
      </c>
      <c r="I9" s="15">
        <v>0.97</v>
      </c>
      <c r="J9" s="16">
        <v>43.1</v>
      </c>
    </row>
    <row r="10" spans="4:10" ht="18.95" customHeight="1" x14ac:dyDescent="0.25">
      <c r="D10" s="19" t="s">
        <v>45</v>
      </c>
      <c r="E10" s="19"/>
      <c r="F10" s="19"/>
      <c r="G10" s="19"/>
      <c r="H10" s="12" t="s">
        <v>55</v>
      </c>
      <c r="I10" s="14">
        <v>0.312</v>
      </c>
      <c r="J10" s="16">
        <v>3.5</v>
      </c>
    </row>
    <row r="11" spans="4:10" ht="18.95" customHeight="1" x14ac:dyDescent="0.25">
      <c r="D11" s="19" t="s">
        <v>46</v>
      </c>
      <c r="E11" s="19"/>
      <c r="F11" s="19"/>
      <c r="G11" s="19"/>
      <c r="H11" s="12" t="s">
        <v>55</v>
      </c>
      <c r="I11" s="14">
        <v>0.13400000000000001</v>
      </c>
      <c r="J11" s="16">
        <v>1.5</v>
      </c>
    </row>
    <row r="12" spans="4:10" ht="18.95" customHeight="1" x14ac:dyDescent="0.25">
      <c r="D12" s="19" t="s">
        <v>47</v>
      </c>
      <c r="E12" s="19"/>
      <c r="F12" s="19"/>
      <c r="G12" s="19"/>
      <c r="H12" s="12" t="s">
        <v>55</v>
      </c>
      <c r="I12" s="15">
        <v>0.27</v>
      </c>
      <c r="J12" s="16">
        <v>0.9</v>
      </c>
    </row>
    <row r="13" spans="4:10" ht="18.95" customHeight="1" x14ac:dyDescent="0.25">
      <c r="D13" s="19" t="s">
        <v>48</v>
      </c>
      <c r="E13" s="19"/>
      <c r="F13" s="19"/>
      <c r="G13" s="19"/>
      <c r="H13" s="12" t="s">
        <v>53</v>
      </c>
      <c r="I13" s="14">
        <v>0.495</v>
      </c>
      <c r="J13" s="16">
        <v>12.3</v>
      </c>
    </row>
  </sheetData>
  <mergeCells count="9">
    <mergeCell ref="D11:G11"/>
    <mergeCell ref="D12:G12"/>
    <mergeCell ref="D13:G13"/>
    <mergeCell ref="D5:J5"/>
    <mergeCell ref="D6:G6"/>
    <mergeCell ref="D7:G7"/>
    <mergeCell ref="D8:G8"/>
    <mergeCell ref="D9:G9"/>
    <mergeCell ref="D10:G1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Contratación</vt:lpstr>
      <vt:lpstr>Gestion</vt:lpstr>
      <vt:lpstr>Almacén</vt:lpstr>
    </vt:vector>
  </TitlesOfParts>
  <Company>SOLUCIONES DJJA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</dc:creator>
  <cp:lastModifiedBy>user</cp:lastModifiedBy>
  <dcterms:created xsi:type="dcterms:W3CDTF">2013-02-21T17:50:01Z</dcterms:created>
  <dcterms:modified xsi:type="dcterms:W3CDTF">2018-11-20T21:46:03Z</dcterms:modified>
</cp:coreProperties>
</file>